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70" windowHeight="6920" tabRatio="324" firstSheet="1" activeTab="1"/>
  </bookViews>
  <sheets>
    <sheet name="Raw_Sales_Data" sheetId="2" r:id="rId1"/>
    <sheet name="Dashboard" sheetId="3" r:id="rId2"/>
  </sheets>
  <definedNames>
    <definedName name="Slicer_city">#N/A</definedName>
    <definedName name="Slicer_category">#N/A</definedName>
    <definedName name="Slicer_Days">#N/A</definedName>
    <definedName name="Slicer_product_name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  <x14:slicerCache r:id="rId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<sst xmlns="http://schemas.openxmlformats.org/spreadsheetml/2006/main" count="151" uniqueCount="57">
  <si>
    <t>customer_name</t>
  </si>
  <si>
    <t>city</t>
  </si>
  <si>
    <t>order_id</t>
  </si>
  <si>
    <t>order_date</t>
  </si>
  <si>
    <t>Days</t>
  </si>
  <si>
    <t>payment_method</t>
  </si>
  <si>
    <t>product_name</t>
  </si>
  <si>
    <t>category</t>
  </si>
  <si>
    <t>quantity</t>
  </si>
  <si>
    <t>price</t>
  </si>
  <si>
    <t>total_sales</t>
  </si>
  <si>
    <t>Revenue_By_Products</t>
  </si>
  <si>
    <t>Revenue Analysis By Category</t>
  </si>
  <si>
    <t>Mary Wanjiku</t>
  </si>
  <si>
    <t>Nairobi</t>
  </si>
  <si>
    <t>Mpesa</t>
  </si>
  <si>
    <t>Rice 2kg</t>
  </si>
  <si>
    <t>Groceries</t>
  </si>
  <si>
    <t>Row Labels</t>
  </si>
  <si>
    <t>Sum of total_sales</t>
  </si>
  <si>
    <t>Milk 500ml</t>
  </si>
  <si>
    <t>Dairy</t>
  </si>
  <si>
    <t>Bakery</t>
  </si>
  <si>
    <t>Bread</t>
  </si>
  <si>
    <t>Toothpaste</t>
  </si>
  <si>
    <t>Cleaning</t>
  </si>
  <si>
    <t>John Kamau</t>
  </si>
  <si>
    <t>Nakuru</t>
  </si>
  <si>
    <t>Cash</t>
  </si>
  <si>
    <t>Cooking Oil 1L</t>
  </si>
  <si>
    <t>Personal Care</t>
  </si>
  <si>
    <t>Sugar 1kg</t>
  </si>
  <si>
    <t>Soap Bar</t>
  </si>
  <si>
    <t>Beverages</t>
  </si>
  <si>
    <t>Faith Achieng</t>
  </si>
  <si>
    <t>Kisumu</t>
  </si>
  <si>
    <t>Card</t>
  </si>
  <si>
    <t>Shampoo</t>
  </si>
  <si>
    <t>Biscuits</t>
  </si>
  <si>
    <t>Snacks</t>
  </si>
  <si>
    <t>Soda 500ml</t>
  </si>
  <si>
    <t>Grand Total</t>
  </si>
  <si>
    <t>Ann Njeri</t>
  </si>
  <si>
    <t>Sales By Days</t>
  </si>
  <si>
    <t>David Mwangi</t>
  </si>
  <si>
    <t>Eldoret</t>
  </si>
  <si>
    <t>Grace Atieno</t>
  </si>
  <si>
    <t>Total_Sales_By City</t>
  </si>
  <si>
    <t>Brian Kiptoo</t>
  </si>
  <si>
    <t>Total Revenue</t>
  </si>
  <si>
    <t>Total Orders</t>
  </si>
  <si>
    <t>Total Customers</t>
  </si>
  <si>
    <t>Average Order Value</t>
  </si>
  <si>
    <t>Sales Analysis By Customers</t>
  </si>
  <si>
    <t>Total Sales By Category</t>
  </si>
  <si>
    <t>Total Sales By City</t>
  </si>
  <si>
    <t>Sales_Analysis_By_Days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</si>
</sst>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dd"/>
  </numFmts>
  <fonts count="26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5"/>
      <name val="Calibri"/>
      <charset val="134"/>
      <scheme val="minor"/>
    </font>
    <font>
      <sz val="10"/>
      <color rgb="FF000000"/>
      <name val="Courier Ne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6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8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/>
    <xf numFmtId="0" fontId="5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58" fontId="5" fillId="2" borderId="5" xfId="0" applyNumberFormat="1" applyFont="1" applyFill="1" applyBorder="1" applyAlignment="1">
      <alignment horizontal="left" vertical="center" wrapText="1"/>
    </xf>
    <xf numFmtId="178" fontId="5" fillId="2" borderId="5" xfId="0" applyNumberFormat="1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178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5" fillId="2" borderId="7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58" fontId="5" fillId="2" borderId="8" xfId="0" applyNumberFormat="1" applyFont="1" applyFill="1" applyBorder="1" applyAlignment="1">
      <alignment horizontal="left" vertical="center" wrapText="1"/>
    </xf>
    <xf numFmtId="178" fontId="5" fillId="2" borderId="8" xfId="0" applyNumberFormat="1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1">
    <dxf>
      <font>
        <name val="Courier New"/>
        <scheme val="none"/>
        <family val="3"/>
        <b val="0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left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ourier New"/>
        <scheme val="none"/>
        <family val="3"/>
        <b val="0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left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ourier New"/>
        <scheme val="none"/>
        <family val="3"/>
        <b val="0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left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ourier New"/>
        <scheme val="none"/>
        <family val="3"/>
        <b val="0"/>
        <i val="0"/>
        <strike val="0"/>
        <u val="none"/>
        <sz val="10"/>
        <color rgb="FF000000"/>
      </font>
      <numFmt numFmtId="58" formatCode="m/d/yyyy"/>
      <fill>
        <patternFill patternType="solid">
          <bgColor rgb="FFFFFFFF"/>
        </patternFill>
      </fill>
      <alignment horizontal="left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ourier New"/>
        <scheme val="none"/>
        <family val="3"/>
        <b val="0"/>
        <i val="0"/>
        <strike val="0"/>
        <u val="none"/>
        <sz val="10"/>
        <color rgb="FF000000"/>
      </font>
      <numFmt numFmtId="178" formatCode="dddd"/>
      <fill>
        <patternFill patternType="solid">
          <bgColor rgb="FFFFFFFF"/>
        </patternFill>
      </fill>
      <alignment horizontal="left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ourier New"/>
        <scheme val="none"/>
        <family val="3"/>
        <b val="0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left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ourier New"/>
        <scheme val="none"/>
        <family val="3"/>
        <b val="0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left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ourier New"/>
        <scheme val="none"/>
        <family val="3"/>
        <b val="0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left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ourier New"/>
        <scheme val="none"/>
        <family val="3"/>
        <b val="0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left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ourier New"/>
        <scheme val="none"/>
        <family val="3"/>
        <b val="0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left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ourier New"/>
        <scheme val="none"/>
        <family val="3"/>
        <b val="0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left" vertical="center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4.xml"/><Relationship Id="rId6" Type="http://schemas.microsoft.com/office/2007/relationships/slicerCache" Target="slicerCaches/slicerCache3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[BrightMart_Dashboard.xlsx]Raw_Sales_Data!PivotTable6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Raw_Sales_Data!$P$2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Raw_Sales_Data!$O$3:$O$10</c:f>
              <c:strCache>
                <c:ptCount val="7"/>
                <c:pt idx="0">
                  <c:v>Bakery</c:v>
                </c:pt>
                <c:pt idx="1">
                  <c:v>Cleaning</c:v>
                </c:pt>
                <c:pt idx="2">
                  <c:v>Personal Care</c:v>
                </c:pt>
                <c:pt idx="3">
                  <c:v>Beverages</c:v>
                </c:pt>
                <c:pt idx="4">
                  <c:v>Dairy</c:v>
                </c:pt>
                <c:pt idx="5">
                  <c:v>Snacks</c:v>
                </c:pt>
                <c:pt idx="6">
                  <c:v>Groceries</c:v>
                </c:pt>
              </c:strCache>
            </c:strRef>
          </c:cat>
          <c:val>
            <c:numRef>
              <c:f>Raw_Sales_Data!$P$3:$P$10</c:f>
              <c:numCache>
                <c:formatCode>General</c:formatCode>
                <c:ptCount val="7"/>
                <c:pt idx="0">
                  <c:v>210</c:v>
                </c:pt>
                <c:pt idx="1">
                  <c:v>300</c:v>
                </c:pt>
                <c:pt idx="2">
                  <c:v>470</c:v>
                </c:pt>
                <c:pt idx="3">
                  <c:v>560</c:v>
                </c:pt>
                <c:pt idx="4">
                  <c:v>900</c:v>
                </c:pt>
                <c:pt idx="5">
                  <c:v>900</c:v>
                </c:pt>
                <c:pt idx="6">
                  <c:v>2500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889692974"/>
        <c:axId val="716614641"/>
      </c:barChart>
      <c:catAx>
        <c:axId val="88969297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Category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6614641"/>
        <c:crosses val="autoZero"/>
        <c:auto val="1"/>
        <c:lblAlgn val="ctr"/>
        <c:lblOffset val="100"/>
        <c:noMultiLvlLbl val="0"/>
      </c:catAx>
      <c:valAx>
        <c:axId val="71661464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969297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a075e42-7dcf-4f47-944c-8eba74e1f09e}"/>
      </c:ext>
    </c:extLst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[BrightMart_Dashboard.xlsx]Raw_Sales_Data!PivotTable7</c:name>
    <c:fmtId val="1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Raw_Sales_Data!$M$16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Raw_Sales_Data!$L$17:$L$21</c:f>
              <c:strCache>
                <c:ptCount val="4"/>
                <c:pt idx="0">
                  <c:v>Eldoret</c:v>
                </c:pt>
                <c:pt idx="1">
                  <c:v>Kisumu</c:v>
                </c:pt>
                <c:pt idx="2">
                  <c:v>Nakuru</c:v>
                </c:pt>
                <c:pt idx="3">
                  <c:v>Nairobi</c:v>
                </c:pt>
              </c:strCache>
            </c:strRef>
          </c:cat>
          <c:val>
            <c:numRef>
              <c:f>Raw_Sales_Data!$M$17:$M$21</c:f>
              <c:numCache>
                <c:formatCode>General</c:formatCode>
                <c:ptCount val="4"/>
                <c:pt idx="0">
                  <c:v>990</c:v>
                </c:pt>
                <c:pt idx="1">
                  <c:v>1100</c:v>
                </c:pt>
                <c:pt idx="2">
                  <c:v>1110</c:v>
                </c:pt>
                <c:pt idx="3">
                  <c:v>2640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2636592"/>
        <c:axId val="1302621935"/>
      </c:barChart>
      <c:catAx>
        <c:axId val="116263659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City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2621935"/>
        <c:crosses val="autoZero"/>
        <c:auto val="1"/>
        <c:lblAlgn val="ctr"/>
        <c:lblOffset val="100"/>
        <c:noMultiLvlLbl val="0"/>
      </c:catAx>
      <c:valAx>
        <c:axId val="1302621935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Total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6263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d7dcb39-7108-47b5-9297-a631bd3f6c4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[BrightMart_Dashboard.xlsx]Raw_Sales_Data!PivotTable9</c:name>
    <c:fmtId val="1"/>
  </c:pivotSource>
  <c:chart>
    <c:autoTitleDeleted val="1"/>
    <c:plotArea>
      <c:layout>
        <c:manualLayout>
          <c:layoutTarget val="inner"/>
          <c:xMode val="edge"/>
          <c:yMode val="edge"/>
          <c:x val="0.140806451612903"/>
          <c:y val="0.112268518518519"/>
          <c:w val="0.775860215053763"/>
          <c:h val="0.679027777777778"/>
        </c:manualLayout>
      </c:layout>
      <c:lineChart>
        <c:grouping val="standard"/>
        <c:varyColors val="0"/>
        <c:ser>
          <c:idx val="0"/>
          <c:order val="0"/>
          <c:tx>
            <c:strRef>
              <c:f>Raw_Sales_Data!$P$12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Raw_Sales_Data!$O$13:$O$19</c:f>
              <c:strCache>
                <c:ptCount val="6"/>
                <c:pt idx="0">
                  <c:v>Thursday</c:v>
                </c:pt>
                <c:pt idx="1">
                  <c:v>Friday</c:v>
                </c:pt>
                <c:pt idx="2">
                  <c:v>Saturday</c:v>
                </c:pt>
                <c:pt idx="3">
                  <c:v>Sunday</c:v>
                </c:pt>
                <c:pt idx="4">
                  <c:v>Monday</c:v>
                </c:pt>
                <c:pt idx="5">
                  <c:v>Tuesday</c:v>
                </c:pt>
              </c:strCache>
            </c:strRef>
          </c:cat>
          <c:val>
            <c:numRef>
              <c:f>Raw_Sales_Data!$P$13:$P$19</c:f>
              <c:numCache>
                <c:formatCode>General</c:formatCode>
                <c:ptCount val="6"/>
                <c:pt idx="0">
                  <c:v>810</c:v>
                </c:pt>
                <c:pt idx="1">
                  <c:v>1340</c:v>
                </c:pt>
                <c:pt idx="2">
                  <c:v>420</c:v>
                </c:pt>
                <c:pt idx="3">
                  <c:v>570</c:v>
                </c:pt>
                <c:pt idx="4">
                  <c:v>1430</c:v>
                </c:pt>
                <c:pt idx="5">
                  <c:v>1270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498176912"/>
        <c:axId val="1498189392"/>
      </c:lineChart>
      <c:catAx>
        <c:axId val="149817691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Days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8189392"/>
        <c:crosses val="autoZero"/>
        <c:auto val="1"/>
        <c:lblAlgn val="ctr"/>
        <c:lblOffset val="100"/>
        <c:noMultiLvlLbl val="0"/>
      </c:catAx>
      <c:valAx>
        <c:axId val="149818939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Total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8176912"/>
        <c:crosses val="autoZero"/>
        <c:crossBetween val="between"/>
      </c:valAx>
      <c:spPr>
        <a:solidFill>
          <a:srgbClr val="92D050"/>
        </a:soli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3bd7e8-bcbe-4c32-b895-4bbce1bf74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[BrightMart_Dashboard.xlsx]Raw_Sales_Data!PivotTable2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3668903803132"/>
          <c:y val="0.179398148148148"/>
          <c:w val="0.700276352151599"/>
          <c:h val="0.6031018518518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Raw_Sales_Data!$M$3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Raw_Sales_Data!$L$4:$L$14</c:f>
              <c:strCache>
                <c:ptCount val="10"/>
                <c:pt idx="0">
                  <c:v>Toothpaste</c:v>
                </c:pt>
                <c:pt idx="1">
                  <c:v>Bread</c:v>
                </c:pt>
                <c:pt idx="2">
                  <c:v>Soap Bar</c:v>
                </c:pt>
                <c:pt idx="3">
                  <c:v>Shampoo</c:v>
                </c:pt>
                <c:pt idx="4">
                  <c:v>Sugar 1kg</c:v>
                </c:pt>
                <c:pt idx="5">
                  <c:v>Soda 500ml</c:v>
                </c:pt>
                <c:pt idx="6">
                  <c:v>Biscuits</c:v>
                </c:pt>
                <c:pt idx="7">
                  <c:v>Milk 500ml</c:v>
                </c:pt>
                <c:pt idx="8">
                  <c:v>Cooking Oil 1L</c:v>
                </c:pt>
                <c:pt idx="9">
                  <c:v>Rice 2kg</c:v>
                </c:pt>
              </c:strCache>
            </c:strRef>
          </c:cat>
          <c:val>
            <c:numRef>
              <c:f>Raw_Sales_Data!$M$4:$M$14</c:f>
              <c:numCache>
                <c:formatCode>General</c:formatCode>
                <c:ptCount val="10"/>
                <c:pt idx="0">
                  <c:v>120</c:v>
                </c:pt>
                <c:pt idx="1">
                  <c:v>210</c:v>
                </c:pt>
                <c:pt idx="2">
                  <c:v>300</c:v>
                </c:pt>
                <c:pt idx="3">
                  <c:v>350</c:v>
                </c:pt>
                <c:pt idx="4">
                  <c:v>540</c:v>
                </c:pt>
                <c:pt idx="5">
                  <c:v>560</c:v>
                </c:pt>
                <c:pt idx="6">
                  <c:v>900</c:v>
                </c:pt>
                <c:pt idx="7">
                  <c:v>900</c:v>
                </c:pt>
                <c:pt idx="8">
                  <c:v>960</c:v>
                </c:pt>
                <c:pt idx="9">
                  <c:v>1000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4"/>
        <c:overlap val="0"/>
        <c:axId val="885740690"/>
        <c:axId val="788973800"/>
      </c:barChart>
      <c:catAx>
        <c:axId val="88574069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r>
                  <a:rPr lang="en-US" altLang="zh-CN"/>
                  <a:t>Products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88973800"/>
        <c:crosses val="autoZero"/>
        <c:auto val="1"/>
        <c:lblAlgn val="ctr"/>
        <c:lblOffset val="100"/>
        <c:noMultiLvlLbl val="0"/>
      </c:catAx>
      <c:valAx>
        <c:axId val="78897380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r>
                  <a:rPr lang="en-US" altLang="zh-CN"/>
                  <a:t>Total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88574069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5ab74ac-e5ae-4e89-b6f0-7b207122cb05}"/>
      </c:ext>
    </c:extLst>
  </c:chart>
  <c:spPr>
    <a:solidFill>
      <a:srgbClr val="92D050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596900</xdr:colOff>
      <xdr:row>3</xdr:row>
      <xdr:rowOff>165100</xdr:rowOff>
    </xdr:to>
    <xdr:sp>
      <xdr:nvSpPr>
        <xdr:cNvPr id="4" name="Rectangle 3"/>
        <xdr:cNvSpPr/>
      </xdr:nvSpPr>
      <xdr:spPr>
        <a:xfrm>
          <a:off x="0" y="0"/>
          <a:ext cx="12636500" cy="933450"/>
        </a:xfrm>
        <a:prstGeom prst="rect">
          <a:avLst/>
        </a:prstGeom>
        <a:gradFill>
          <a:gsLst>
            <a:gs pos="10000">
              <a:srgbClr val="00B050">
                <a:alpha val="20000"/>
                <a:lumMod val="73000"/>
                <a:lumOff val="27000"/>
              </a:srgbClr>
            </a:gs>
            <a:gs pos="0">
              <a:schemeClr val="accent1">
                <a:lumMod val="5000"/>
                <a:lumOff val="95000"/>
              </a:schemeClr>
            </a:gs>
            <a:gs pos="0">
              <a:schemeClr val="accent1">
                <a:lumMod val="45000"/>
                <a:lumOff val="55000"/>
              </a:schemeClr>
            </a:gs>
          </a:gsLst>
          <a:lin ang="84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0</xdr:col>
      <xdr:colOff>25400</xdr:colOff>
      <xdr:row>0</xdr:row>
      <xdr:rowOff>25400</xdr:rowOff>
    </xdr:from>
    <xdr:to>
      <xdr:col>0</xdr:col>
      <xdr:colOff>914400</xdr:colOff>
      <xdr:row>0</xdr:row>
      <xdr:rowOff>139700</xdr:rowOff>
    </xdr:to>
    <xdr:sp>
      <xdr:nvSpPr>
        <xdr:cNvPr id="3" name="Rectangle 2" hidden="1"/>
        <xdr:cNvSpPr/>
      </xdr:nvSpPr>
      <xdr:spPr>
        <a:xfrm>
          <a:off x="25400" y="25400"/>
          <a:ext cx="889000" cy="114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19050</xdr:colOff>
      <xdr:row>6</xdr:row>
      <xdr:rowOff>3175</xdr:rowOff>
    </xdr:from>
    <xdr:to>
      <xdr:col>13</xdr:col>
      <xdr:colOff>603250</xdr:colOff>
      <xdr:row>20</xdr:row>
      <xdr:rowOff>168275</xdr:rowOff>
    </xdr:to>
    <xdr:graphicFrame>
      <xdr:nvGraphicFramePr>
        <xdr:cNvPr id="6" name="Chart 2"/>
        <xdr:cNvGraphicFramePr/>
      </xdr:nvGraphicFramePr>
      <xdr:xfrm>
        <a:off x="5772150" y="1323975"/>
        <a:ext cx="56134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9525</xdr:rowOff>
    </xdr:from>
    <xdr:to>
      <xdr:col>3</xdr:col>
      <xdr:colOff>1079500</xdr:colOff>
      <xdr:row>37</xdr:row>
      <xdr:rowOff>174625</xdr:rowOff>
    </xdr:to>
    <xdr:graphicFrame>
      <xdr:nvGraphicFramePr>
        <xdr:cNvPr id="7" name="Chart 3"/>
        <xdr:cNvGraphicFramePr/>
      </xdr:nvGraphicFramePr>
      <xdr:xfrm>
        <a:off x="0" y="446087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1079500</xdr:colOff>
      <xdr:row>22</xdr:row>
      <xdr:rowOff>171450</xdr:rowOff>
    </xdr:from>
    <xdr:to>
      <xdr:col>4</xdr:col>
      <xdr:colOff>622300</xdr:colOff>
      <xdr:row>38</xdr:row>
      <xdr:rowOff>12700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72000" y="4438650"/>
              <a:ext cx="1174750" cy="2787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571500</xdr:colOff>
      <xdr:row>5</xdr:row>
      <xdr:rowOff>177800</xdr:rowOff>
    </xdr:from>
    <xdr:to>
      <xdr:col>15</xdr:col>
      <xdr:colOff>444500</xdr:colOff>
      <xdr:row>20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53800" y="1314450"/>
              <a:ext cx="11303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5</xdr:col>
      <xdr:colOff>146050</xdr:colOff>
      <xdr:row>22</xdr:row>
      <xdr:rowOff>168275</xdr:rowOff>
    </xdr:from>
    <xdr:to>
      <xdr:col>14</xdr:col>
      <xdr:colOff>6350</xdr:colOff>
      <xdr:row>38</xdr:row>
      <xdr:rowOff>72390</xdr:rowOff>
    </xdr:to>
    <xdr:graphicFrame>
      <xdr:nvGraphicFramePr>
        <xdr:cNvPr id="16" name="Chart 4"/>
        <xdr:cNvGraphicFramePr/>
      </xdr:nvGraphicFramePr>
      <xdr:xfrm>
        <a:off x="5899150" y="4435475"/>
        <a:ext cx="5518150" cy="2850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22</xdr:row>
      <xdr:rowOff>165100</xdr:rowOff>
    </xdr:from>
    <xdr:to>
      <xdr:col>15</xdr:col>
      <xdr:colOff>596900</xdr:colOff>
      <xdr:row>37</xdr:row>
      <xdr:rowOff>177800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7" name="Day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y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10950" y="4432300"/>
              <a:ext cx="1225550" cy="2774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6350</xdr:colOff>
      <xdr:row>6</xdr:row>
      <xdr:rowOff>38100</xdr:rowOff>
    </xdr:from>
    <xdr:to>
      <xdr:col>3</xdr:col>
      <xdr:colOff>1145540</xdr:colOff>
      <xdr:row>20</xdr:row>
      <xdr:rowOff>146685</xdr:rowOff>
    </xdr:to>
    <xdr:graphicFrame>
      <xdr:nvGraphicFramePr>
        <xdr:cNvPr id="2" name="Chart 1" descr="7b0a202020202263686172745265734964223a20223230343735353037220a7d0a"/>
        <xdr:cNvGraphicFramePr/>
      </xdr:nvGraphicFramePr>
      <xdr:xfrm>
        <a:off x="6350" y="1358900"/>
        <a:ext cx="4631690" cy="2686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1187450</xdr:colOff>
      <xdr:row>5</xdr:row>
      <xdr:rowOff>160020</xdr:rowOff>
    </xdr:from>
    <xdr:to>
      <xdr:col>4</xdr:col>
      <xdr:colOff>590550</xdr:colOff>
      <xdr:row>22</xdr:row>
      <xdr:rowOff>125730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product_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79950" y="1296670"/>
              <a:ext cx="1035050" cy="3096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43.4086851852" refreshedBy="Hp" recordCount="19">
  <cacheSource type="worksheet">
    <worksheetSource name="Table2"/>
  </cacheSource>
  <cacheFields count="11">
    <cacheField name="customer_name" numFmtId="0">
      <sharedItems count="7">
        <s v="Mary Wanjiku"/>
        <s v="John Kamau"/>
        <s v="Faith Achieng"/>
        <s v="Ann Njeri"/>
        <s v="David Mwangi"/>
        <s v="Grace Atieno"/>
        <s v="Brian Kiptoo"/>
      </sharedItems>
    </cacheField>
    <cacheField name="city" numFmtId="0">
      <sharedItems count="4">
        <s v="Nairobi"/>
        <s v="Nakuru"/>
        <s v="Kisumu"/>
        <s v="Eldoret"/>
      </sharedItems>
    </cacheField>
    <cacheField name="order_id" numFmtId="0"/>
    <cacheField name="order_date" numFmtId="58"/>
    <cacheField name="Days" numFmtId="178">
      <sharedItems containsSemiMixedTypes="0" containsString="0" containsNonDate="0" containsDate="1" minDate="2025-03-20T00:00:00" maxDate="2025-03-25T00:00:00" count="6">
        <d v="2025-03-20T00:00:00"/>
        <d v="2025-03-21T00:00:00"/>
        <d v="2025-03-22T00:00:00"/>
        <d v="2025-03-23T00:00:00"/>
        <d v="2025-03-24T00:00:00"/>
        <d v="2025-03-25T00:00:00"/>
      </sharedItems>
    </cacheField>
    <cacheField name="payment_method" numFmtId="0"/>
    <cacheField name="product_name" numFmtId="0">
      <sharedItems count="10">
        <s v="Rice 2kg"/>
        <s v="Milk 500ml"/>
        <s v="Bread"/>
        <s v="Cooking Oil 1L"/>
        <s v="Sugar 1kg"/>
        <s v="Biscuits"/>
        <s v="Soap Bar"/>
        <s v="Toothpaste"/>
        <s v="Soda 500ml"/>
        <s v="Shampoo"/>
      </sharedItems>
    </cacheField>
    <cacheField name="category" numFmtId="0">
      <sharedItems count="7">
        <s v="Groceries"/>
        <s v="Dairy"/>
        <s v="Bakery"/>
        <s v="Snacks"/>
        <s v="Cleaning"/>
        <s v="Personal Care"/>
        <s v="Beverages"/>
      </sharedItems>
    </cacheField>
    <cacheField name="quantity" numFmtId="0"/>
    <cacheField name="price" numFmtId="0"/>
    <cacheField name="total_sales" numFmtId="0">
      <sharedItems containsSemiMixedTypes="0" containsString="0" containsNumber="1" containsInteger="1" minValue="70" maxValue="640" count="13">
        <n v="500"/>
        <n v="240"/>
        <n v="70"/>
        <n v="320"/>
        <n v="360"/>
        <n v="300"/>
        <n v="120"/>
        <n v="250"/>
        <n v="640"/>
        <n v="350"/>
        <n v="140"/>
        <n v="600"/>
        <n v="18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x v="0"/>
    <x v="0"/>
    <n v="1001"/>
    <d v="2025-03-20T00:00:00"/>
    <x v="0"/>
    <s v="Mpesa"/>
    <x v="0"/>
    <x v="0"/>
    <n v="2"/>
    <n v="250"/>
    <x v="0"/>
  </r>
  <r>
    <x v="0"/>
    <x v="0"/>
    <n v="1001"/>
    <d v="2025-03-20T00:00:00"/>
    <x v="0"/>
    <s v="Mpesa"/>
    <x v="1"/>
    <x v="1"/>
    <n v="4"/>
    <n v="60"/>
    <x v="1"/>
  </r>
  <r>
    <x v="0"/>
    <x v="0"/>
    <n v="1001"/>
    <d v="2025-03-20T00:00:00"/>
    <x v="0"/>
    <s v="Mpesa"/>
    <x v="2"/>
    <x v="2"/>
    <n v="1"/>
    <n v="70"/>
    <x v="2"/>
  </r>
  <r>
    <x v="1"/>
    <x v="1"/>
    <n v="1002"/>
    <d v="2025-03-21T00:00:00"/>
    <x v="1"/>
    <s v="Cash"/>
    <x v="3"/>
    <x v="0"/>
    <n v="1"/>
    <n v="320"/>
    <x v="3"/>
  </r>
  <r>
    <x v="1"/>
    <x v="1"/>
    <n v="1002"/>
    <d v="2025-03-21T00:00:00"/>
    <x v="1"/>
    <s v="Cash"/>
    <x v="4"/>
    <x v="0"/>
    <n v="2"/>
    <n v="180"/>
    <x v="4"/>
  </r>
  <r>
    <x v="2"/>
    <x v="2"/>
    <n v="1003"/>
    <d v="2025-03-21T00:00:00"/>
    <x v="1"/>
    <s v="Card"/>
    <x v="1"/>
    <x v="1"/>
    <n v="6"/>
    <n v="60"/>
    <x v="4"/>
  </r>
  <r>
    <x v="2"/>
    <x v="2"/>
    <n v="1003"/>
    <d v="2025-03-21T00:00:00"/>
    <x v="1"/>
    <s v="Card"/>
    <x v="5"/>
    <x v="3"/>
    <n v="3"/>
    <n v="100"/>
    <x v="5"/>
  </r>
  <r>
    <x v="0"/>
    <x v="0"/>
    <n v="1004"/>
    <d v="2025-03-22T00:00:00"/>
    <x v="2"/>
    <s v="Mpesa"/>
    <x v="6"/>
    <x v="4"/>
    <n v="2"/>
    <n v="150"/>
    <x v="5"/>
  </r>
  <r>
    <x v="0"/>
    <x v="0"/>
    <n v="1004"/>
    <d v="2025-03-22T00:00:00"/>
    <x v="2"/>
    <s v="Mpesa"/>
    <x v="7"/>
    <x v="5"/>
    <n v="1"/>
    <n v="120"/>
    <x v="6"/>
  </r>
  <r>
    <x v="3"/>
    <x v="0"/>
    <n v="1006"/>
    <d v="2025-03-23T00:00:00"/>
    <x v="3"/>
    <s v="Mpesa"/>
    <x v="0"/>
    <x v="0"/>
    <n v="1"/>
    <n v="250"/>
    <x v="7"/>
  </r>
  <r>
    <x v="3"/>
    <x v="0"/>
    <n v="1006"/>
    <d v="2025-03-23T00:00:00"/>
    <x v="3"/>
    <s v="Mpesa"/>
    <x v="8"/>
    <x v="6"/>
    <n v="4"/>
    <n v="80"/>
    <x v="3"/>
  </r>
  <r>
    <x v="4"/>
    <x v="3"/>
    <n v="1007"/>
    <d v="2025-03-24T00:00:00"/>
    <x v="4"/>
    <s v="Card"/>
    <x v="3"/>
    <x v="0"/>
    <n v="2"/>
    <n v="320"/>
    <x v="8"/>
  </r>
  <r>
    <x v="4"/>
    <x v="3"/>
    <n v="1007"/>
    <d v="2025-03-24T00:00:00"/>
    <x v="4"/>
    <s v="Card"/>
    <x v="9"/>
    <x v="5"/>
    <n v="1"/>
    <n v="350"/>
    <x v="9"/>
  </r>
  <r>
    <x v="5"/>
    <x v="2"/>
    <n v="1008"/>
    <d v="2025-03-24T00:00:00"/>
    <x v="4"/>
    <s v="Mpesa"/>
    <x v="1"/>
    <x v="1"/>
    <n v="5"/>
    <n v="60"/>
    <x v="5"/>
  </r>
  <r>
    <x v="5"/>
    <x v="2"/>
    <n v="1008"/>
    <d v="2025-03-24T00:00:00"/>
    <x v="4"/>
    <s v="Mpesa"/>
    <x v="2"/>
    <x v="2"/>
    <n v="2"/>
    <n v="70"/>
    <x v="10"/>
  </r>
  <r>
    <x v="6"/>
    <x v="0"/>
    <n v="1009"/>
    <d v="2025-03-25T00:00:00"/>
    <x v="5"/>
    <s v="Cash"/>
    <x v="5"/>
    <x v="3"/>
    <n v="6"/>
    <n v="100"/>
    <x v="11"/>
  </r>
  <r>
    <x v="6"/>
    <x v="0"/>
    <n v="1009"/>
    <d v="2025-03-25T00:00:00"/>
    <x v="5"/>
    <s v="Cash"/>
    <x v="8"/>
    <x v="6"/>
    <n v="3"/>
    <n v="80"/>
    <x v="1"/>
  </r>
  <r>
    <x v="1"/>
    <x v="1"/>
    <n v="1010"/>
    <d v="2025-03-25T00:00:00"/>
    <x v="5"/>
    <s v="Mpesa"/>
    <x v="0"/>
    <x v="0"/>
    <n v="1"/>
    <n v="250"/>
    <x v="7"/>
  </r>
  <r>
    <x v="1"/>
    <x v="1"/>
    <n v="1010"/>
    <d v="2025-03-25T00:00:00"/>
    <x v="5"/>
    <s v="Mpesa"/>
    <x v="4"/>
    <x v="0"/>
    <n v="1"/>
    <n v="180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">
  <location ref="O12:P19" firstHeaderRow="1" firstDataRow="1" firstDataCol="1"/>
  <pivotFields count="11">
    <pivotField showAll="0">
      <items count="8">
        <item x="3"/>
        <item x="6"/>
        <item x="4"/>
        <item x="2"/>
        <item x="5"/>
        <item x="1"/>
        <item x="0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numFmtId="58" showAll="0"/>
    <pivotField axis="axisRow" numFmtId="178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>
      <items count="11">
        <item x="5"/>
        <item x="2"/>
        <item x="3"/>
        <item x="1"/>
        <item x="0"/>
        <item x="9"/>
        <item x="6"/>
        <item x="8"/>
        <item x="4"/>
        <item x="7"/>
        <item t="default"/>
      </items>
    </pivotField>
    <pivotField showAll="0">
      <items count="8">
        <item x="2"/>
        <item x="6"/>
        <item x="4"/>
        <item x="1"/>
        <item x="0"/>
        <item x="5"/>
        <item x="3"/>
        <item t="default"/>
      </items>
    </pivotField>
    <pivotField showAll="0"/>
    <pivotField showAll="0"/>
    <pivotField dataField="1" showAll="0">
      <items count="14">
        <item x="2"/>
        <item x="6"/>
        <item x="10"/>
        <item x="12"/>
        <item x="1"/>
        <item x="7"/>
        <item x="5"/>
        <item x="3"/>
        <item x="9"/>
        <item x="4"/>
        <item x="0"/>
        <item x="11"/>
        <item x="8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ales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5">
  <location ref="L16:M21" firstHeaderRow="1" firstDataRow="1" firstDataCol="1"/>
  <pivotFields count="11">
    <pivotField showAll="0">
      <items count="8">
        <item x="3"/>
        <item x="6"/>
        <item x="4"/>
        <item x="2"/>
        <item x="5"/>
        <item x="1"/>
        <item x="0"/>
        <item t="default"/>
      </items>
    </pivotField>
    <pivotField axis="axisRow" sortType="ascending" showAll="0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58" showAll="0"/>
    <pivotField numFmtId="178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>
      <items count="11">
        <item x="5"/>
        <item x="2"/>
        <item x="3"/>
        <item x="1"/>
        <item x="0"/>
        <item x="9"/>
        <item x="6"/>
        <item x="8"/>
        <item x="4"/>
        <item x="7"/>
        <item t="default"/>
      </items>
    </pivotField>
    <pivotField showAll="0">
      <items count="8">
        <item x="2"/>
        <item x="6"/>
        <item x="4"/>
        <item x="1"/>
        <item x="0"/>
        <item x="5"/>
        <item x="3"/>
        <item t="default"/>
      </items>
    </pivotField>
    <pivotField showAll="0"/>
    <pivotField showAll="0"/>
    <pivotField dataField="1" showAll="0">
      <items count="14">
        <item x="2"/>
        <item x="6"/>
        <item x="10"/>
        <item x="12"/>
        <item x="1"/>
        <item x="7"/>
        <item x="5"/>
        <item x="3"/>
        <item x="9"/>
        <item x="4"/>
        <item x="0"/>
        <item x="11"/>
        <item x="8"/>
        <item t="default"/>
      </items>
    </pivotField>
  </pivotFields>
  <rowFields count="1">
    <field x="1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Sum of total_sales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3">
  <location ref="O2:P10" firstHeaderRow="1" firstDataRow="1" firstDataCol="1"/>
  <pivotFields count="11">
    <pivotField showAll="0">
      <items count="8">
        <item x="3"/>
        <item x="6"/>
        <item x="4"/>
        <item x="2"/>
        <item x="5"/>
        <item x="1"/>
        <item x="0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numFmtId="58" showAll="0"/>
    <pivotField numFmtId="178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>
      <items count="11">
        <item x="5"/>
        <item x="2"/>
        <item x="3"/>
        <item x="1"/>
        <item x="0"/>
        <item x="9"/>
        <item x="6"/>
        <item x="8"/>
        <item x="4"/>
        <item x="7"/>
        <item t="default"/>
      </items>
    </pivotField>
    <pivotField axis="axisRow" sortType="ascending" showAll="0">
      <items count="8">
        <item x="2"/>
        <item x="6"/>
        <item x="4"/>
        <item x="1"/>
        <item x="0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14">
        <item x="2"/>
        <item x="6"/>
        <item x="10"/>
        <item x="12"/>
        <item x="1"/>
        <item x="7"/>
        <item x="5"/>
        <item x="3"/>
        <item x="9"/>
        <item x="4"/>
        <item x="0"/>
        <item x="11"/>
        <item x="8"/>
        <item t="default"/>
      </items>
    </pivotField>
  </pivotFields>
  <rowFields count="1">
    <field x="7"/>
  </rowFields>
  <rowItems count="8">
    <i>
      <x/>
    </i>
    <i>
      <x v="2"/>
    </i>
    <i>
      <x v="5"/>
    </i>
    <i>
      <x v="1"/>
    </i>
    <i>
      <x v="3"/>
    </i>
    <i>
      <x v="6"/>
    </i>
    <i>
      <x v="4"/>
    </i>
    <i t="grand">
      <x/>
    </i>
  </rowItems>
  <colItems count="1">
    <i/>
  </colItems>
  <dataFields count="1">
    <dataField name="Sum of total_sales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outline="1" compactData="0" outlineData="1" showDrill="1" multipleFieldFilters="0" chartFormat="4">
  <location ref="L3:M14" firstHeaderRow="1" firstDataRow="1" firstDataCol="1"/>
  <pivotFields count="11">
    <pivotField compact="0" showAll="0">
      <items count="8">
        <item x="3"/>
        <item x="6"/>
        <item x="4"/>
        <item x="2"/>
        <item x="5"/>
        <item x="1"/>
        <item x="0"/>
        <item t="default"/>
      </items>
    </pivotField>
    <pivotField compact="0" showAll="0">
      <items count="5">
        <item x="3"/>
        <item x="2"/>
        <item x="0"/>
        <item x="1"/>
        <item t="default"/>
      </items>
    </pivotField>
    <pivotField compact="0" showAll="0"/>
    <pivotField compact="0" numFmtId="58" showAll="0"/>
    <pivotField compact="0" numFmtId="178" showAll="0">
      <items count="7">
        <item x="0"/>
        <item x="1"/>
        <item x="2"/>
        <item x="3"/>
        <item x="4"/>
        <item x="5"/>
        <item t="default"/>
      </items>
    </pivotField>
    <pivotField compact="0" showAll="0"/>
    <pivotField axis="axisRow" compact="0" sortType="ascending" showAll="0">
      <items count="11">
        <item x="5"/>
        <item x="2"/>
        <item x="3"/>
        <item x="1"/>
        <item x="0"/>
        <item x="9"/>
        <item x="6"/>
        <item x="8"/>
        <item x="4"/>
        <item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8">
        <item x="2"/>
        <item x="6"/>
        <item x="4"/>
        <item x="1"/>
        <item x="0"/>
        <item x="5"/>
        <item x="3"/>
        <item t="default"/>
      </items>
    </pivotField>
    <pivotField compact="0" showAll="0"/>
    <pivotField compact="0" showAll="0"/>
    <pivotField dataField="1" compact="0" showAll="0">
      <items count="14">
        <item x="2"/>
        <item x="6"/>
        <item x="10"/>
        <item x="12"/>
        <item x="1"/>
        <item x="7"/>
        <item x="5"/>
        <item x="3"/>
        <item x="9"/>
        <item x="4"/>
        <item x="0"/>
        <item x="11"/>
        <item x="8"/>
        <item t="default"/>
      </items>
    </pivotField>
  </pivotFields>
  <rowFields count="1">
    <field x="6"/>
  </rowFields>
  <rowItems count="11">
    <i>
      <x v="9"/>
    </i>
    <i>
      <x v="1"/>
    </i>
    <i>
      <x v="6"/>
    </i>
    <i>
      <x v="5"/>
    </i>
    <i>
      <x v="8"/>
    </i>
    <i>
      <x v="7"/>
    </i>
    <i>
      <x/>
    </i>
    <i>
      <x v="3"/>
    </i>
    <i>
      <x v="2"/>
    </i>
    <i>
      <x v="4"/>
    </i>
    <i t="grand">
      <x/>
    </i>
  </rowItems>
  <colItems count="1">
    <i/>
  </colItems>
  <dataFields count="1">
    <dataField name="Sum of total_sales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2" name="PivotTable7"/>
  </pivotTables>
  <data>
    <tabular pivotCacheId="1">
      <items count="4">
        <i x="3" s="1"/>
        <i x="2" s="1"/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2" name="PivotTable6"/>
  </pivotTables>
  <data>
    <tabular pivotCacheId="1">
      <items count="7">
        <i x="2" s="1"/>
        <i x="6" s="1"/>
        <i x="4" s="1"/>
        <i x="1" s="1"/>
        <i x="0" s="1"/>
        <i x="5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ys" sourceName="Days">
  <pivotTables>
    <pivotTable tabId="2" name="PivotTable9"/>
  </pivotTables>
  <data>
    <tabular pivotCacheId="1">
      <items count="6">
        <i x="0" s="1"/>
        <i x="1" s="1"/>
        <i x="2" s="1"/>
        <i x="3" s="1"/>
        <i x="4" s="1"/>
        <i x="5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name" sourceName="product_name">
  <pivotTables>
    <pivotTable tabId="2" name="PivotTable2"/>
  </pivotTables>
  <data>
    <tabular pivotCacheId="1">
      <items count="10">
        <i x="5" s="1"/>
        <i x="2" s="1"/>
        <i x="3" s="1"/>
        <i x="1" s="1"/>
        <i x="0" s="1"/>
        <i x="9" s="1"/>
        <i x="6" s="1"/>
        <i x="8" s="1"/>
        <i x="4" s="1"/>
        <i x="7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ity" cache="Slicer_city" caption="city" rowHeight="241300"/>
  <slicer name="category" cache="Slicer_category" caption="category" rowHeight="241300"/>
  <slicer name="Days" cache="Slicer_Days" caption="Days" rowHeight="241300"/>
  <slicer name="product_name" cache="Slicer_product_name" caption="product_name" rowHeight="225425"/>
</slicers>
</file>

<file path=xl/tables/table1.xml><?xml version="1.0" encoding="utf-8"?>
<table xmlns="http://schemas.openxmlformats.org/spreadsheetml/2006/main" id="2" name="Table2" displayName="Table2" ref="A1:K20" totalsRowShown="0">
  <autoFilter xmlns:etc="http://www.wps.cn/officeDocument/2017/etCustomData" ref="A1:K20" etc:filterBottomFollowUsedRange="0"/>
  <tableColumns count="11">
    <tableColumn id="1" name="customer_name" dataDxfId="0"/>
    <tableColumn id="2" name="city" dataDxfId="1"/>
    <tableColumn id="3" name="order_id" dataDxfId="2"/>
    <tableColumn id="4" name="order_date" dataDxfId="3"/>
    <tableColumn id="12" name="Days" dataDxfId="4"/>
    <tableColumn id="5" name="payment_method" dataDxfId="5"/>
    <tableColumn id="6" name="product_name" dataDxfId="6"/>
    <tableColumn id="7" name="category" dataDxfId="7"/>
    <tableColumn id="8" name="quantity" dataDxfId="8"/>
    <tableColumn id="9" name="price" dataDxfId="9"/>
    <tableColumn id="10" name="total_sales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topLeftCell="H1" workbookViewId="0">
      <pane ySplit="1" topLeftCell="A2" activePane="bottomLeft" state="frozen"/>
      <selection/>
      <selection pane="bottomLeft" activeCell="L5" sqref="L5"/>
    </sheetView>
  </sheetViews>
  <sheetFormatPr defaultColWidth="9" defaultRowHeight="14.5"/>
  <cols>
    <col min="1" max="1" width="16.4545454545455" customWidth="1"/>
    <col min="3" max="3" width="10" customWidth="1"/>
    <col min="4" max="4" width="13.1818181818182" customWidth="1"/>
    <col min="5" max="5" width="13.1818181818182" style="5" customWidth="1"/>
    <col min="6" max="6" width="17.9090909090909" customWidth="1"/>
    <col min="7" max="7" width="16.4545454545455" customWidth="1"/>
    <col min="8" max="8" width="15.4545454545455" customWidth="1"/>
    <col min="9" max="9" width="9.90909090909091" customWidth="1"/>
    <col min="11" max="11" width="12.5454545454545" customWidth="1"/>
    <col min="12" max="12" width="16.4545454545455"/>
    <col min="13" max="13" width="17.8181818181818"/>
    <col min="14" max="14" width="7.90909090909091" customWidth="1"/>
    <col min="15" max="15" width="13.4545454545455"/>
    <col min="16" max="16" width="17.8181818181818"/>
    <col min="17" max="17" width="9.27272727272727" customWidth="1"/>
    <col min="18" max="18" width="7.90909090909091" customWidth="1"/>
    <col min="19" max="19" width="5.18181818181818" customWidth="1"/>
    <col min="20" max="20" width="8.72727272727273" customWidth="1"/>
    <col min="21" max="21" width="16.4545454545455"/>
    <col min="22" max="22" width="17.8181818181818"/>
    <col min="23" max="23" width="10.7272727272727" customWidth="1"/>
  </cols>
  <sheetData>
    <row r="1" ht="21" spans="1:16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9" t="s">
        <v>10</v>
      </c>
      <c r="L1" s="10" t="s">
        <v>11</v>
      </c>
      <c r="M1" s="10"/>
      <c r="O1" s="10" t="s">
        <v>12</v>
      </c>
      <c r="P1" s="10"/>
    </row>
    <row r="2" spans="1:16">
      <c r="A2" s="11" t="s">
        <v>13</v>
      </c>
      <c r="B2" s="12" t="s">
        <v>14</v>
      </c>
      <c r="C2" s="12">
        <v>1001</v>
      </c>
      <c r="D2" s="13">
        <v>45736</v>
      </c>
      <c r="E2" s="14">
        <v>45736</v>
      </c>
      <c r="F2" s="12" t="s">
        <v>15</v>
      </c>
      <c r="G2" s="12" t="s">
        <v>16</v>
      </c>
      <c r="H2" s="12" t="s">
        <v>17</v>
      </c>
      <c r="I2" s="12">
        <v>2</v>
      </c>
      <c r="J2" s="12">
        <v>250</v>
      </c>
      <c r="K2" s="15">
        <v>500</v>
      </c>
      <c r="O2" t="s">
        <v>18</v>
      </c>
      <c r="P2" t="s">
        <v>19</v>
      </c>
    </row>
    <row r="3" spans="1:16">
      <c r="A3" s="11" t="s">
        <v>13</v>
      </c>
      <c r="B3" s="12" t="s">
        <v>14</v>
      </c>
      <c r="C3" s="12">
        <v>1001</v>
      </c>
      <c r="D3" s="13">
        <v>45736</v>
      </c>
      <c r="E3" s="14">
        <v>45736</v>
      </c>
      <c r="F3" s="12" t="s">
        <v>15</v>
      </c>
      <c r="G3" s="12" t="s">
        <v>20</v>
      </c>
      <c r="H3" s="12" t="s">
        <v>21</v>
      </c>
      <c r="I3" s="12">
        <v>4</v>
      </c>
      <c r="J3" s="12">
        <v>60</v>
      </c>
      <c r="K3" s="15">
        <v>240</v>
      </c>
      <c r="L3" t="s">
        <v>6</v>
      </c>
      <c r="M3" t="s">
        <v>19</v>
      </c>
      <c r="O3" s="16" t="s">
        <v>22</v>
      </c>
      <c r="P3">
        <v>210</v>
      </c>
    </row>
    <row r="4" spans="1:16">
      <c r="A4" s="11" t="s">
        <v>13</v>
      </c>
      <c r="B4" s="12" t="s">
        <v>14</v>
      </c>
      <c r="C4" s="12">
        <v>1001</v>
      </c>
      <c r="D4" s="13">
        <v>45736</v>
      </c>
      <c r="E4" s="14">
        <v>45736</v>
      </c>
      <c r="F4" s="12" t="s">
        <v>15</v>
      </c>
      <c r="G4" s="12" t="s">
        <v>23</v>
      </c>
      <c r="H4" s="12" t="s">
        <v>22</v>
      </c>
      <c r="I4" s="12">
        <v>1</v>
      </c>
      <c r="J4" s="12">
        <v>70</v>
      </c>
      <c r="K4" s="15">
        <v>70</v>
      </c>
      <c r="L4" t="s">
        <v>24</v>
      </c>
      <c r="M4">
        <v>120</v>
      </c>
      <c r="O4" s="16" t="s">
        <v>25</v>
      </c>
      <c r="P4">
        <v>300</v>
      </c>
    </row>
    <row r="5" ht="23.5" customHeight="1" spans="1:16">
      <c r="A5" s="11" t="s">
        <v>26</v>
      </c>
      <c r="B5" s="12" t="s">
        <v>27</v>
      </c>
      <c r="C5" s="12">
        <v>1002</v>
      </c>
      <c r="D5" s="13">
        <v>45737</v>
      </c>
      <c r="E5" s="14">
        <v>45737</v>
      </c>
      <c r="F5" s="12" t="s">
        <v>28</v>
      </c>
      <c r="G5" s="12" t="s">
        <v>29</v>
      </c>
      <c r="H5" s="12" t="s">
        <v>17</v>
      </c>
      <c r="I5" s="12">
        <v>1</v>
      </c>
      <c r="J5" s="12">
        <v>320</v>
      </c>
      <c r="K5" s="15">
        <v>320</v>
      </c>
      <c r="L5" t="s">
        <v>23</v>
      </c>
      <c r="M5">
        <v>210</v>
      </c>
      <c r="O5" s="16" t="s">
        <v>30</v>
      </c>
      <c r="P5">
        <v>470</v>
      </c>
    </row>
    <row r="6" spans="1:16">
      <c r="A6" s="11" t="s">
        <v>26</v>
      </c>
      <c r="B6" s="12" t="s">
        <v>27</v>
      </c>
      <c r="C6" s="12">
        <v>1002</v>
      </c>
      <c r="D6" s="13">
        <v>45737</v>
      </c>
      <c r="E6" s="14">
        <v>45737</v>
      </c>
      <c r="F6" s="12" t="s">
        <v>28</v>
      </c>
      <c r="G6" s="12" t="s">
        <v>31</v>
      </c>
      <c r="H6" s="12" t="s">
        <v>17</v>
      </c>
      <c r="I6" s="12">
        <v>2</v>
      </c>
      <c r="J6" s="12">
        <v>180</v>
      </c>
      <c r="K6" s="15">
        <v>360</v>
      </c>
      <c r="L6" t="s">
        <v>32</v>
      </c>
      <c r="M6">
        <v>300</v>
      </c>
      <c r="O6" s="16" t="s">
        <v>33</v>
      </c>
      <c r="P6">
        <v>560</v>
      </c>
    </row>
    <row r="7" spans="1:16">
      <c r="A7" s="11" t="s">
        <v>34</v>
      </c>
      <c r="B7" s="12" t="s">
        <v>35</v>
      </c>
      <c r="C7" s="12">
        <v>1003</v>
      </c>
      <c r="D7" s="13">
        <v>45737</v>
      </c>
      <c r="E7" s="14">
        <v>45737</v>
      </c>
      <c r="F7" s="12" t="s">
        <v>36</v>
      </c>
      <c r="G7" s="12" t="s">
        <v>20</v>
      </c>
      <c r="H7" s="12" t="s">
        <v>21</v>
      </c>
      <c r="I7" s="12">
        <v>6</v>
      </c>
      <c r="J7" s="12">
        <v>60</v>
      </c>
      <c r="K7" s="15">
        <v>360</v>
      </c>
      <c r="L7" t="s">
        <v>37</v>
      </c>
      <c r="M7">
        <v>350</v>
      </c>
      <c r="O7" s="16" t="s">
        <v>21</v>
      </c>
      <c r="P7">
        <v>900</v>
      </c>
    </row>
    <row r="8" spans="1:16">
      <c r="A8" s="11" t="s">
        <v>34</v>
      </c>
      <c r="B8" s="12" t="s">
        <v>35</v>
      </c>
      <c r="C8" s="12">
        <v>1003</v>
      </c>
      <c r="D8" s="13">
        <v>45737</v>
      </c>
      <c r="E8" s="14">
        <v>45737</v>
      </c>
      <c r="F8" s="12" t="s">
        <v>36</v>
      </c>
      <c r="G8" s="12" t="s">
        <v>38</v>
      </c>
      <c r="H8" s="12" t="s">
        <v>39</v>
      </c>
      <c r="I8" s="12">
        <v>3</v>
      </c>
      <c r="J8" s="12">
        <v>100</v>
      </c>
      <c r="K8" s="15">
        <v>300</v>
      </c>
      <c r="L8" t="s">
        <v>31</v>
      </c>
      <c r="M8">
        <v>540</v>
      </c>
      <c r="O8" s="16" t="s">
        <v>39</v>
      </c>
      <c r="P8">
        <v>900</v>
      </c>
    </row>
    <row r="9" spans="1:16">
      <c r="A9" s="11" t="s">
        <v>13</v>
      </c>
      <c r="B9" s="12" t="s">
        <v>14</v>
      </c>
      <c r="C9" s="12">
        <v>1004</v>
      </c>
      <c r="D9" s="13">
        <v>45738</v>
      </c>
      <c r="E9" s="14">
        <v>45738</v>
      </c>
      <c r="F9" s="12" t="s">
        <v>15</v>
      </c>
      <c r="G9" s="12" t="s">
        <v>32</v>
      </c>
      <c r="H9" s="12" t="s">
        <v>25</v>
      </c>
      <c r="I9" s="12">
        <v>2</v>
      </c>
      <c r="J9" s="12">
        <v>150</v>
      </c>
      <c r="K9" s="15">
        <v>300</v>
      </c>
      <c r="L9" t="s">
        <v>40</v>
      </c>
      <c r="M9">
        <v>560</v>
      </c>
      <c r="O9" s="16" t="s">
        <v>17</v>
      </c>
      <c r="P9">
        <v>2500</v>
      </c>
    </row>
    <row r="10" spans="1:16">
      <c r="A10" s="11" t="s">
        <v>13</v>
      </c>
      <c r="B10" s="12" t="s">
        <v>14</v>
      </c>
      <c r="C10" s="12">
        <v>1004</v>
      </c>
      <c r="D10" s="13">
        <v>45738</v>
      </c>
      <c r="E10" s="14">
        <v>45738</v>
      </c>
      <c r="F10" s="12" t="s">
        <v>15</v>
      </c>
      <c r="G10" s="12" t="s">
        <v>24</v>
      </c>
      <c r="H10" s="12" t="s">
        <v>30</v>
      </c>
      <c r="I10" s="12">
        <v>1</v>
      </c>
      <c r="J10" s="12">
        <v>120</v>
      </c>
      <c r="K10" s="15">
        <v>120</v>
      </c>
      <c r="L10" t="s">
        <v>38</v>
      </c>
      <c r="M10">
        <v>900</v>
      </c>
      <c r="O10" s="16" t="s">
        <v>41</v>
      </c>
      <c r="P10">
        <v>5840</v>
      </c>
    </row>
    <row r="11" ht="21" spans="1:16">
      <c r="A11" s="11" t="s">
        <v>42</v>
      </c>
      <c r="B11" s="12" t="s">
        <v>14</v>
      </c>
      <c r="C11" s="12">
        <v>1006</v>
      </c>
      <c r="D11" s="13">
        <v>45739</v>
      </c>
      <c r="E11" s="14">
        <v>45739</v>
      </c>
      <c r="F11" s="12" t="s">
        <v>15</v>
      </c>
      <c r="G11" s="12" t="s">
        <v>16</v>
      </c>
      <c r="H11" s="12" t="s">
        <v>17</v>
      </c>
      <c r="I11" s="12">
        <v>1</v>
      </c>
      <c r="J11" s="12">
        <v>250</v>
      </c>
      <c r="K11" s="15">
        <v>250</v>
      </c>
      <c r="L11" t="s">
        <v>20</v>
      </c>
      <c r="M11">
        <v>900</v>
      </c>
      <c r="O11" s="17" t="s">
        <v>43</v>
      </c>
      <c r="P11" s="10"/>
    </row>
    <row r="12" spans="1:16">
      <c r="A12" s="11" t="s">
        <v>42</v>
      </c>
      <c r="B12" s="12" t="s">
        <v>14</v>
      </c>
      <c r="C12" s="12">
        <v>1006</v>
      </c>
      <c r="D12" s="13">
        <v>45739</v>
      </c>
      <c r="E12" s="14">
        <v>45739</v>
      </c>
      <c r="F12" s="12" t="s">
        <v>15</v>
      </c>
      <c r="G12" s="12" t="s">
        <v>40</v>
      </c>
      <c r="H12" s="12" t="s">
        <v>33</v>
      </c>
      <c r="I12" s="12">
        <v>4</v>
      </c>
      <c r="J12" s="12">
        <v>80</v>
      </c>
      <c r="K12" s="15">
        <v>320</v>
      </c>
      <c r="L12" t="s">
        <v>29</v>
      </c>
      <c r="M12">
        <v>960</v>
      </c>
      <c r="O12" t="s">
        <v>18</v>
      </c>
      <c r="P12" t="s">
        <v>19</v>
      </c>
    </row>
    <row r="13" spans="1:16">
      <c r="A13" s="11" t="s">
        <v>44</v>
      </c>
      <c r="B13" s="12" t="s">
        <v>45</v>
      </c>
      <c r="C13" s="12">
        <v>1007</v>
      </c>
      <c r="D13" s="13">
        <v>45740</v>
      </c>
      <c r="E13" s="14">
        <v>45740</v>
      </c>
      <c r="F13" s="12" t="s">
        <v>36</v>
      </c>
      <c r="G13" s="12" t="s">
        <v>29</v>
      </c>
      <c r="H13" s="12" t="s">
        <v>17</v>
      </c>
      <c r="I13" s="12">
        <v>2</v>
      </c>
      <c r="J13" s="12">
        <v>320</v>
      </c>
      <c r="K13" s="15">
        <v>640</v>
      </c>
      <c r="L13" t="s">
        <v>16</v>
      </c>
      <c r="M13">
        <v>1000</v>
      </c>
      <c r="O13" s="18">
        <v>45736</v>
      </c>
      <c r="P13" s="19">
        <v>810</v>
      </c>
    </row>
    <row r="14" spans="1:16">
      <c r="A14" s="11" t="s">
        <v>44</v>
      </c>
      <c r="B14" s="12" t="s">
        <v>45</v>
      </c>
      <c r="C14" s="12">
        <v>1007</v>
      </c>
      <c r="D14" s="13">
        <v>45740</v>
      </c>
      <c r="E14" s="14">
        <v>45740</v>
      </c>
      <c r="F14" s="12" t="s">
        <v>36</v>
      </c>
      <c r="G14" s="12" t="s">
        <v>37</v>
      </c>
      <c r="H14" s="12" t="s">
        <v>30</v>
      </c>
      <c r="I14" s="12">
        <v>1</v>
      </c>
      <c r="J14" s="12">
        <v>350</v>
      </c>
      <c r="K14" s="15">
        <v>350</v>
      </c>
      <c r="L14" t="s">
        <v>41</v>
      </c>
      <c r="M14">
        <v>5840</v>
      </c>
      <c r="O14" s="18">
        <v>45737</v>
      </c>
      <c r="P14" s="19">
        <v>1340</v>
      </c>
    </row>
    <row r="15" ht="21" spans="1:16">
      <c r="A15" s="11" t="s">
        <v>46</v>
      </c>
      <c r="B15" s="12" t="s">
        <v>35</v>
      </c>
      <c r="C15" s="12">
        <v>1008</v>
      </c>
      <c r="D15" s="13">
        <v>45740</v>
      </c>
      <c r="E15" s="14">
        <v>45740</v>
      </c>
      <c r="F15" s="12" t="s">
        <v>15</v>
      </c>
      <c r="G15" s="12" t="s">
        <v>20</v>
      </c>
      <c r="H15" s="12" t="s">
        <v>21</v>
      </c>
      <c r="I15" s="12">
        <v>5</v>
      </c>
      <c r="J15" s="12">
        <v>60</v>
      </c>
      <c r="K15" s="15">
        <v>300</v>
      </c>
      <c r="L15" s="17" t="s">
        <v>47</v>
      </c>
      <c r="M15" s="10"/>
      <c r="O15" s="18">
        <v>45738</v>
      </c>
      <c r="P15" s="19">
        <v>420</v>
      </c>
    </row>
    <row r="16" spans="1:16">
      <c r="A16" s="11" t="s">
        <v>46</v>
      </c>
      <c r="B16" s="12" t="s">
        <v>35</v>
      </c>
      <c r="C16" s="12">
        <v>1008</v>
      </c>
      <c r="D16" s="13">
        <v>45740</v>
      </c>
      <c r="E16" s="14">
        <v>45740</v>
      </c>
      <c r="F16" s="12" t="s">
        <v>15</v>
      </c>
      <c r="G16" s="12" t="s">
        <v>23</v>
      </c>
      <c r="H16" s="12" t="s">
        <v>22</v>
      </c>
      <c r="I16" s="12">
        <v>2</v>
      </c>
      <c r="J16" s="12">
        <v>70</v>
      </c>
      <c r="K16" s="15">
        <v>140</v>
      </c>
      <c r="L16" t="s">
        <v>18</v>
      </c>
      <c r="M16" t="s">
        <v>19</v>
      </c>
      <c r="O16" s="18">
        <v>45739</v>
      </c>
      <c r="P16" s="19">
        <v>570</v>
      </c>
    </row>
    <row r="17" spans="1:16">
      <c r="A17" s="11" t="s">
        <v>48</v>
      </c>
      <c r="B17" s="12" t="s">
        <v>14</v>
      </c>
      <c r="C17" s="12">
        <v>1009</v>
      </c>
      <c r="D17" s="13">
        <v>45741</v>
      </c>
      <c r="E17" s="14">
        <v>45741</v>
      </c>
      <c r="F17" s="12" t="s">
        <v>28</v>
      </c>
      <c r="G17" s="12" t="s">
        <v>38</v>
      </c>
      <c r="H17" s="12" t="s">
        <v>39</v>
      </c>
      <c r="I17" s="12">
        <v>6</v>
      </c>
      <c r="J17" s="12">
        <v>100</v>
      </c>
      <c r="K17" s="15">
        <v>600</v>
      </c>
      <c r="L17" s="20" t="s">
        <v>45</v>
      </c>
      <c r="M17" s="19">
        <v>990</v>
      </c>
      <c r="O17" s="18">
        <v>45740</v>
      </c>
      <c r="P17" s="19">
        <v>1430</v>
      </c>
    </row>
    <row r="18" spans="1:16">
      <c r="A18" s="11" t="s">
        <v>48</v>
      </c>
      <c r="B18" s="12" t="s">
        <v>14</v>
      </c>
      <c r="C18" s="12">
        <v>1009</v>
      </c>
      <c r="D18" s="13">
        <v>45741</v>
      </c>
      <c r="E18" s="14">
        <v>45741</v>
      </c>
      <c r="F18" s="12" t="s">
        <v>28</v>
      </c>
      <c r="G18" s="12" t="s">
        <v>40</v>
      </c>
      <c r="H18" s="12" t="s">
        <v>33</v>
      </c>
      <c r="I18" s="12">
        <v>3</v>
      </c>
      <c r="J18" s="12">
        <v>80</v>
      </c>
      <c r="K18" s="15">
        <v>240</v>
      </c>
      <c r="L18" s="20" t="s">
        <v>35</v>
      </c>
      <c r="M18" s="19">
        <v>1100</v>
      </c>
      <c r="O18" s="18">
        <v>45741</v>
      </c>
      <c r="P18" s="19">
        <v>1270</v>
      </c>
    </row>
    <row r="19" spans="1:16">
      <c r="A19" s="11" t="s">
        <v>26</v>
      </c>
      <c r="B19" s="12" t="s">
        <v>27</v>
      </c>
      <c r="C19" s="12">
        <v>1010</v>
      </c>
      <c r="D19" s="13">
        <v>45741</v>
      </c>
      <c r="E19" s="14">
        <v>45741</v>
      </c>
      <c r="F19" s="12" t="s">
        <v>15</v>
      </c>
      <c r="G19" s="12" t="s">
        <v>16</v>
      </c>
      <c r="H19" s="12" t="s">
        <v>17</v>
      </c>
      <c r="I19" s="12">
        <v>1</v>
      </c>
      <c r="J19" s="12">
        <v>250</v>
      </c>
      <c r="K19" s="15">
        <v>250</v>
      </c>
      <c r="L19" s="20" t="s">
        <v>27</v>
      </c>
      <c r="M19" s="19">
        <v>1110</v>
      </c>
      <c r="O19" s="18" t="s">
        <v>41</v>
      </c>
      <c r="P19" s="19">
        <v>5840</v>
      </c>
    </row>
    <row r="20" spans="1:16">
      <c r="A20" s="21" t="s">
        <v>26</v>
      </c>
      <c r="B20" s="22" t="s">
        <v>27</v>
      </c>
      <c r="C20" s="22">
        <v>1010</v>
      </c>
      <c r="D20" s="23">
        <v>45741</v>
      </c>
      <c r="E20" s="24">
        <v>45741</v>
      </c>
      <c r="F20" s="22" t="s">
        <v>15</v>
      </c>
      <c r="G20" s="22" t="s">
        <v>31</v>
      </c>
      <c r="H20" s="22" t="s">
        <v>17</v>
      </c>
      <c r="I20" s="22">
        <v>1</v>
      </c>
      <c r="J20" s="22">
        <v>180</v>
      </c>
      <c r="K20" s="25">
        <v>180</v>
      </c>
      <c r="L20" s="20" t="s">
        <v>14</v>
      </c>
      <c r="M20" s="19">
        <v>2640</v>
      </c>
    </row>
    <row r="21" spans="1:16">
      <c r="A21">
        <f>SUMPRODUCT(1/COUNTIF(A2:A20,A2:A20))</f>
        <v>7</v>
      </c>
      <c r="L21" s="20" t="s">
        <v>41</v>
      </c>
      <c r="M21" s="19">
        <v>5840</v>
      </c>
    </row>
  </sheetData>
  <mergeCells count="4">
    <mergeCell ref="L1:M1"/>
    <mergeCell ref="O1:P1"/>
    <mergeCell ref="O11:P11"/>
    <mergeCell ref="L15:M15"/>
  </mergeCells>
  <pageMargins left="0.7" right="0.7" top="0.75" bottom="0.75" header="0.3" footer="0.3"/>
  <headerFooter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topLeftCell="A22" workbookViewId="0">
      <selection activeCell="D6" sqref="D6"/>
    </sheetView>
  </sheetViews>
  <sheetFormatPr defaultColWidth="9" defaultRowHeight="14.5"/>
  <cols>
    <col min="1" max="1" width="16.3636363636364" customWidth="1"/>
    <col min="2" max="2" width="15.0909090909091" customWidth="1"/>
    <col min="3" max="3" width="18.5454545454545" customWidth="1"/>
    <col min="4" max="4" width="23.3636363636364" customWidth="1"/>
  </cols>
  <sheetData>
    <row r="1" ht="24" customHeight="1" spans="1:12">
      <c r="A1" s="1" t="s">
        <v>49</v>
      </c>
      <c r="B1" s="1" t="s">
        <v>50</v>
      </c>
      <c r="C1" s="1" t="s">
        <v>51</v>
      </c>
      <c r="D1" s="1" t="s">
        <v>52</v>
      </c>
    </row>
    <row r="2" ht="22" customHeight="1" spans="1:12">
      <c r="A2" s="2">
        <f>SUM(Table2[total_sales])</f>
        <v>5840</v>
      </c>
      <c r="B2" s="2">
        <f>SUMPRODUCT(1/COUNTIF(Table2[order_id],Table2[order_id]))</f>
        <v>9</v>
      </c>
      <c r="C2" s="2">
        <f>SUMPRODUCT(1/COUNTIF(Table2[customer_name],Table2[customer_name]))</f>
        <v>7</v>
      </c>
      <c r="D2" s="3">
        <f>AVERAGE(Table2[total_sales])</f>
        <v>307.368421052632</v>
      </c>
    </row>
    <row r="5" spans="1:12">
      <c r="A5" s="4" t="s">
        <v>53</v>
      </c>
      <c r="B5" s="4"/>
      <c r="C5" s="4"/>
      <c r="E5" s="4" t="s">
        <v>54</v>
      </c>
      <c r="F5" s="4"/>
      <c r="G5" s="4"/>
      <c r="H5" s="4"/>
      <c r="I5" s="4"/>
      <c r="J5" s="4"/>
      <c r="K5" s="4"/>
      <c r="L5" s="4"/>
    </row>
    <row r="6" spans="1:12">
      <c r="A6" s="4"/>
      <c r="B6" s="4"/>
      <c r="C6" s="4"/>
      <c r="E6" s="4"/>
      <c r="F6" s="4"/>
      <c r="G6" s="4"/>
      <c r="H6" s="4"/>
      <c r="I6" s="4"/>
      <c r="J6" s="4"/>
      <c r="K6" s="4"/>
      <c r="L6" s="4"/>
    </row>
    <row r="22" spans="1:12">
      <c r="A22" s="4" t="s">
        <v>55</v>
      </c>
      <c r="B22" s="4"/>
      <c r="C22" s="4"/>
      <c r="D22" s="4"/>
      <c r="E22" s="4" t="s">
        <v>56</v>
      </c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</sheetData>
  <mergeCells count="4">
    <mergeCell ref="A5:C6"/>
    <mergeCell ref="E5:L6"/>
    <mergeCell ref="A22:D23"/>
    <mergeCell ref="E22:L23"/>
  </mergeCells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Raw_Sales_Data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Edwardsantos Ochieng</dc:creator>
  <cp:lastModifiedBy>Hp</cp:lastModifiedBy>
  <dcterms:created xsi:type="dcterms:W3CDTF">2026-05-01T12:47:00Z</dcterms:created>
  <dcterms:modified xsi:type="dcterms:W3CDTF">2026-05-02T14:35:01Z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1033-12.1.0.25862</vt:lpwstr>
  </property>
  <property fmtid="{D5CDD505-2E9C-101B-9397-08002B2CF9AE}" pid="3" name="CalculationRule">
    <vt:i4>0</vt:i4>
  </property>
  <property fmtid="{D5CDD505-2E9C-101B-9397-08002B2CF9AE}" pid="4" name="ICV">
    <vt:lpwstr>407AB0F0581E434AAC78C42100B26C22_12</vt:lpwstr>
  </property>
</Properties>
</file>